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 activeTab="3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  <sheet name="Tanimoto" sheetId="6" r:id="rId6"/>
  </sheets>
  <functionGroups/>
  <calcPr calcId="125725"/>
</workbook>
</file>

<file path=xl/calcChain.xml><?xml version="1.0" encoding="utf-8"?>
<calcChain xmlns="http://schemas.openxmlformats.org/spreadsheetml/2006/main">
  <c r="A2" i="4"/>
  <c r="A7" i="6"/>
  <c r="A6"/>
  <c r="A5"/>
  <c r="E1" s="1"/>
  <c r="A4"/>
  <c r="D1" s="1"/>
  <c r="A3"/>
  <c r="F1"/>
  <c r="A5" i="4"/>
  <c r="A6" i="5"/>
  <c r="A5"/>
  <c r="A4"/>
  <c r="A3"/>
  <c r="A2"/>
  <c r="A1"/>
  <c r="A6" i="4"/>
  <c r="A4"/>
  <c r="A3"/>
  <c r="A1"/>
  <c r="A6" i="1"/>
  <c r="A6" i="2"/>
  <c r="A4"/>
  <c r="A5"/>
  <c r="A5" i="1"/>
  <c r="A4"/>
  <c r="A3"/>
  <c r="A2"/>
  <c r="A1"/>
  <c r="A3" i="2"/>
  <c r="A2"/>
  <c r="A1"/>
  <c r="AR3"/>
  <c r="I3" i="1"/>
  <c r="D6" i="5"/>
  <c r="X5" i="2"/>
  <c r="F5" i="5"/>
  <c r="AE6" i="2"/>
  <c r="Z6"/>
  <c r="O3"/>
  <c r="H4"/>
  <c r="AM6"/>
  <c r="AD5"/>
  <c r="AD6"/>
  <c r="R4" i="5"/>
  <c r="B4" i="4"/>
  <c r="H3" i="2"/>
  <c r="AQ4"/>
  <c r="AB3"/>
  <c r="AS5"/>
  <c r="AU6"/>
  <c r="AL6"/>
  <c r="AL3"/>
  <c r="D5"/>
  <c r="F6"/>
  <c r="G4" i="5"/>
  <c r="N3" i="2"/>
  <c r="T3" i="5"/>
  <c r="AD4" i="2"/>
  <c r="AW6"/>
  <c r="F3" i="1"/>
  <c r="AO6" i="2"/>
  <c r="C4" i="4"/>
  <c r="J6" i="5"/>
  <c r="AH3" i="2"/>
  <c r="Q6"/>
  <c r="AT5"/>
  <c r="D3" i="5"/>
  <c r="N6"/>
  <c r="Q3"/>
  <c r="W3" i="2"/>
  <c r="F6" i="1"/>
  <c r="B3" i="2"/>
  <c r="AF3"/>
  <c r="I4" i="1"/>
  <c r="E2" i="6"/>
  <c r="AG5" i="2"/>
  <c r="T5" i="5"/>
  <c r="AX4" i="2"/>
  <c r="AV5"/>
  <c r="AL4"/>
  <c r="N6"/>
  <c r="AK3"/>
  <c r="L3"/>
  <c r="AE5"/>
  <c r="AJ4"/>
  <c r="X4"/>
  <c r="AV6"/>
  <c r="AK4"/>
  <c r="K6"/>
  <c r="L5" i="5"/>
  <c r="AH4" i="2"/>
  <c r="AV3"/>
  <c r="G6" i="5"/>
  <c r="S6"/>
  <c r="H5"/>
  <c r="AT3" i="2"/>
  <c r="AU5"/>
  <c r="AO3"/>
  <c r="P4"/>
  <c r="AQ3"/>
  <c r="AX5"/>
  <c r="D5" i="1"/>
  <c r="O3" i="5"/>
  <c r="W5" i="2"/>
  <c r="D6" i="4"/>
  <c r="AA3" i="2"/>
  <c r="E5" i="5"/>
  <c r="F3" i="2"/>
  <c r="AX6"/>
  <c r="B4" i="1"/>
  <c r="S5" i="2"/>
  <c r="AW3"/>
  <c r="D6" i="1"/>
  <c r="P3" i="2"/>
  <c r="B5" i="5"/>
  <c r="J6" i="2"/>
  <c r="AP4"/>
  <c r="S6"/>
  <c r="E5" i="1"/>
  <c r="AU3" i="2"/>
  <c r="B7" i="6"/>
  <c r="AI5" i="2"/>
  <c r="K5" i="5"/>
  <c r="E3" i="2"/>
  <c r="AN4"/>
  <c r="AO4"/>
  <c r="E4" i="1"/>
  <c r="C5" i="5"/>
  <c r="K5" i="2"/>
  <c r="AN6"/>
  <c r="C4" i="5"/>
  <c r="T6" i="2"/>
  <c r="M6"/>
  <c r="V3"/>
  <c r="D6"/>
  <c r="G3"/>
  <c r="C6" i="5"/>
  <c r="N3"/>
  <c r="Y4" i="2"/>
  <c r="Z5"/>
  <c r="T6" i="5"/>
  <c r="D3" i="2"/>
  <c r="E6" i="5"/>
  <c r="AJ3" i="2"/>
  <c r="I4" i="5"/>
  <c r="L5" i="2"/>
  <c r="F5"/>
  <c r="S4" i="5"/>
  <c r="D4" i="1"/>
  <c r="S3" i="2"/>
  <c r="J4" i="5"/>
  <c r="AQ5" i="2"/>
  <c r="AT4"/>
  <c r="T4"/>
  <c r="P3" i="5"/>
  <c r="S4" i="2"/>
  <c r="Y5"/>
  <c r="AF4"/>
  <c r="E5"/>
  <c r="G4"/>
  <c r="AG3"/>
  <c r="G6" i="1"/>
  <c r="D3" i="4"/>
  <c r="T3" i="2"/>
  <c r="AS4"/>
  <c r="H3" i="1"/>
  <c r="X3" i="2"/>
  <c r="AB5"/>
  <c r="B4" i="5"/>
  <c r="AR5" i="2"/>
  <c r="P5"/>
  <c r="AK6"/>
  <c r="C6" i="1"/>
  <c r="V5" i="2"/>
  <c r="R3"/>
  <c r="U6"/>
  <c r="G5"/>
  <c r="K3" i="5"/>
  <c r="C3" i="2"/>
  <c r="J3" i="1"/>
  <c r="AP3" i="2"/>
  <c r="D4" i="5"/>
  <c r="S5"/>
  <c r="AN3" i="2"/>
  <c r="H6"/>
  <c r="F4" i="5"/>
  <c r="N4" i="2"/>
  <c r="H5"/>
  <c r="J5"/>
  <c r="AM5"/>
  <c r="F5" i="1"/>
  <c r="M5" i="2"/>
  <c r="D2" i="6"/>
  <c r="AW4" i="2"/>
  <c r="G6"/>
  <c r="I5" i="5"/>
  <c r="Y3" i="2"/>
  <c r="AH5"/>
  <c r="K4" i="5"/>
  <c r="F6"/>
  <c r="L4" i="2"/>
  <c r="O4"/>
  <c r="AI3"/>
  <c r="AA5"/>
  <c r="G3" i="1"/>
  <c r="L4" i="5"/>
  <c r="B4" i="6"/>
  <c r="K4" i="2"/>
  <c r="AU4"/>
  <c r="I5" i="1"/>
  <c r="M4" i="2"/>
  <c r="Z3"/>
  <c r="AB4"/>
  <c r="AH6"/>
  <c r="I4"/>
  <c r="H6" i="5"/>
  <c r="C3" i="4"/>
  <c r="K3" i="2"/>
  <c r="J5" i="1"/>
  <c r="AC3" i="2"/>
  <c r="D5" i="5"/>
  <c r="M3" i="2"/>
  <c r="O5"/>
  <c r="L6" i="5"/>
  <c r="J3"/>
  <c r="E7" i="6"/>
  <c r="H4" i="1"/>
  <c r="B5" i="2"/>
  <c r="C4" i="1"/>
  <c r="I6" i="2"/>
  <c r="F2" i="6"/>
  <c r="AY4" i="2"/>
  <c r="R5" i="5"/>
  <c r="N4"/>
  <c r="B6" i="6"/>
  <c r="P6" i="2"/>
  <c r="AS6"/>
  <c r="Q3"/>
  <c r="O6"/>
  <c r="K3" i="1"/>
  <c r="AX3" i="2"/>
  <c r="V4"/>
  <c r="J6" i="1"/>
  <c r="E6"/>
  <c r="C3"/>
  <c r="I6"/>
  <c r="J5" i="5"/>
  <c r="AO5" i="2"/>
  <c r="AF6"/>
  <c r="C5" i="1"/>
  <c r="AM3" i="2"/>
  <c r="U4"/>
  <c r="AB6"/>
  <c r="P5" i="5"/>
  <c r="AA6" i="2"/>
  <c r="AQ6"/>
  <c r="Q4"/>
  <c r="Q5" i="5"/>
  <c r="AA4" i="2"/>
  <c r="J4"/>
  <c r="I3"/>
  <c r="G4" i="1"/>
  <c r="E3" i="5"/>
  <c r="AV4" i="2"/>
  <c r="M5" i="5"/>
  <c r="F4" i="2"/>
  <c r="AJ5"/>
  <c r="J4" i="1"/>
  <c r="R6" i="5"/>
  <c r="G3"/>
  <c r="AE3" i="2"/>
  <c r="AP6"/>
  <c r="B5" i="6"/>
  <c r="H6" i="1"/>
  <c r="I3" i="5"/>
  <c r="M6"/>
  <c r="AL5" i="2"/>
  <c r="Q5"/>
  <c r="V6"/>
  <c r="AG6"/>
  <c r="AK5"/>
  <c r="R6"/>
  <c r="AW5"/>
  <c r="E6"/>
  <c r="AC4"/>
  <c r="M4" i="5"/>
  <c r="B5" i="1"/>
  <c r="C3" i="5"/>
  <c r="R4" i="2"/>
  <c r="T5"/>
  <c r="K6" i="1"/>
  <c r="O5" i="5"/>
  <c r="F3"/>
  <c r="AY5" i="2"/>
  <c r="AY6"/>
  <c r="AR4"/>
  <c r="AE4"/>
  <c r="N5"/>
  <c r="K6" i="5"/>
  <c r="B6"/>
  <c r="P6"/>
  <c r="G5" i="1"/>
  <c r="I6" i="5"/>
  <c r="Q4"/>
  <c r="G5"/>
  <c r="R5" i="2"/>
  <c r="AN5"/>
  <c r="AI6"/>
  <c r="AT6"/>
  <c r="M3" i="5"/>
  <c r="B6" i="2"/>
  <c r="X6"/>
  <c r="C5"/>
  <c r="K4" i="1"/>
  <c r="AR6" i="2"/>
  <c r="W6"/>
  <c r="E4"/>
  <c r="B3" i="5"/>
  <c r="T4"/>
  <c r="B3" i="1"/>
  <c r="K5"/>
  <c r="Y6" i="2"/>
  <c r="H4" i="5"/>
  <c r="B3" i="4"/>
  <c r="D7" i="6"/>
  <c r="C6" i="2"/>
  <c r="Z4"/>
  <c r="AC5"/>
  <c r="B6" i="4"/>
  <c r="H5" i="1"/>
  <c r="AF5" i="2"/>
  <c r="E6" i="6"/>
  <c r="E4"/>
  <c r="AY3" i="2"/>
  <c r="J3"/>
  <c r="I5"/>
  <c r="W4"/>
  <c r="O6" i="5"/>
  <c r="Q6"/>
  <c r="C5" i="4"/>
  <c r="AG4" i="2"/>
  <c r="AC6"/>
  <c r="L6"/>
  <c r="E3" i="1"/>
  <c r="E4" i="5"/>
  <c r="B5" i="4"/>
  <c r="AM4" i="2"/>
  <c r="D4"/>
  <c r="C6" i="4"/>
  <c r="AP5" i="2"/>
  <c r="C4"/>
  <c r="AJ6"/>
  <c r="D4" i="4"/>
  <c r="P4" i="5"/>
  <c r="D3" i="1"/>
  <c r="U3" i="2"/>
  <c r="AS3"/>
  <c r="AD3"/>
  <c r="U5"/>
  <c r="B6" i="1"/>
  <c r="B4" i="2"/>
  <c r="D5" i="4"/>
  <c r="R3" i="5"/>
  <c r="F4" i="1"/>
  <c r="N5" i="5"/>
  <c r="L3"/>
  <c r="AI4" i="2"/>
  <c r="S3" i="5"/>
  <c r="H3"/>
  <c r="O4"/>
  <c r="F7" i="6"/>
  <c r="G2" i="1"/>
  <c r="D2"/>
  <c r="N2" i="2"/>
  <c r="AN2"/>
  <c r="AK2"/>
  <c r="AQ2"/>
  <c r="X2"/>
  <c r="V2"/>
  <c r="B2" i="1"/>
  <c r="AI2" i="2"/>
  <c r="AF2"/>
  <c r="P2"/>
  <c r="AG2"/>
  <c r="B2" i="4"/>
  <c r="Q2" i="5"/>
  <c r="U2" i="2"/>
  <c r="F2"/>
  <c r="E2" i="1"/>
  <c r="AV2" i="2"/>
  <c r="R2"/>
  <c r="AO2"/>
  <c r="S2"/>
  <c r="AW2"/>
  <c r="J2"/>
  <c r="I2" i="5"/>
  <c r="H2" i="1"/>
  <c r="AS2" i="2"/>
  <c r="AP2"/>
  <c r="AH2"/>
  <c r="G2"/>
  <c r="AL2"/>
  <c r="AY2"/>
  <c r="S2" i="5"/>
  <c r="N2"/>
  <c r="I2" i="2"/>
  <c r="R2" i="5"/>
  <c r="K2" i="2"/>
  <c r="J2" i="5"/>
  <c r="B2"/>
  <c r="AX2" i="2"/>
  <c r="AR2"/>
  <c r="Q2"/>
  <c r="B2"/>
  <c r="K2" i="1"/>
  <c r="AJ2" i="2"/>
  <c r="D2" i="5"/>
  <c r="B3" i="6"/>
  <c r="E3" s="1"/>
  <c r="L2" i="5"/>
  <c r="C2" i="2"/>
  <c r="G2" i="5"/>
  <c r="P2"/>
  <c r="D2" i="4"/>
  <c r="O2" i="2"/>
  <c r="AM2"/>
  <c r="O2" i="5"/>
  <c r="F2" i="1"/>
  <c r="M2" i="5"/>
  <c r="AA2" i="2"/>
  <c r="H2"/>
  <c r="Y2"/>
  <c r="C2" i="1"/>
  <c r="F3" i="6"/>
  <c r="K2" i="5"/>
  <c r="W2" i="2"/>
  <c r="C2" i="5"/>
  <c r="AD2" i="2"/>
  <c r="F2" i="5"/>
  <c r="Z2" i="2"/>
  <c r="I2" i="1"/>
  <c r="H2" i="5"/>
  <c r="D2" i="2"/>
  <c r="E2" i="5"/>
  <c r="AC2" i="2"/>
  <c r="C2" i="4"/>
  <c r="T2" i="2"/>
  <c r="AU2"/>
  <c r="L2"/>
  <c r="AE2"/>
  <c r="AB2"/>
  <c r="AT2"/>
  <c r="E2"/>
  <c r="J2" i="1"/>
  <c r="M2" i="2"/>
  <c r="T2" i="5"/>
  <c r="C1" i="6" l="1"/>
  <c r="A11"/>
  <c r="A19" s="1"/>
  <c r="A15"/>
  <c r="A23" s="1"/>
  <c r="A14"/>
  <c r="A22" s="1"/>
  <c r="G1"/>
  <c r="A13"/>
  <c r="A21" s="1"/>
  <c r="A12"/>
  <c r="A20" s="1"/>
  <c r="B21"/>
  <c r="D5"/>
  <c r="E5"/>
  <c r="D4"/>
  <c r="B22"/>
  <c r="F4"/>
  <c r="B15"/>
  <c r="B14"/>
  <c r="B20"/>
  <c r="G2"/>
  <c r="D6"/>
  <c r="F6"/>
  <c r="F5"/>
  <c r="B23"/>
  <c r="B13"/>
  <c r="B12"/>
  <c r="G6"/>
  <c r="G4"/>
  <c r="G5"/>
  <c r="G7"/>
  <c r="C2"/>
  <c r="C7"/>
  <c r="B11"/>
  <c r="C5"/>
  <c r="B19"/>
  <c r="G3"/>
  <c r="C4"/>
  <c r="C3"/>
  <c r="D3"/>
  <c r="E17" l="1"/>
  <c r="A29"/>
  <c r="F17"/>
  <c r="A30"/>
  <c r="A28"/>
  <c r="D17"/>
  <c r="G17"/>
  <c r="A31"/>
  <c r="A27"/>
  <c r="C17"/>
  <c r="F9"/>
  <c r="E9"/>
  <c r="C9"/>
  <c r="D9"/>
  <c r="G9"/>
  <c r="B30"/>
  <c r="D18"/>
  <c r="E10"/>
  <c r="D21"/>
  <c r="F18"/>
  <c r="F20" s="1"/>
  <c r="B31"/>
  <c r="E13"/>
  <c r="D22"/>
  <c r="B29"/>
  <c r="G10"/>
  <c r="F21"/>
  <c r="G18"/>
  <c r="E18"/>
  <c r="G13"/>
  <c r="F10"/>
  <c r="E15"/>
  <c r="F14"/>
  <c r="F22"/>
  <c r="E20"/>
  <c r="D10"/>
  <c r="G12"/>
  <c r="E14"/>
  <c r="F23"/>
  <c r="D23"/>
  <c r="E22"/>
  <c r="B28"/>
  <c r="D14"/>
  <c r="D12"/>
  <c r="E12"/>
  <c r="D20"/>
  <c r="G14"/>
  <c r="G21"/>
  <c r="G23"/>
  <c r="G22"/>
  <c r="G20"/>
  <c r="E23"/>
  <c r="E21"/>
  <c r="F12"/>
  <c r="F15"/>
  <c r="D15"/>
  <c r="D13"/>
  <c r="C6"/>
  <c r="C10"/>
  <c r="G11"/>
  <c r="C14"/>
  <c r="D11"/>
  <c r="F19"/>
  <c r="C18"/>
  <c r="G19"/>
  <c r="C11"/>
  <c r="E11"/>
  <c r="D19"/>
  <c r="C12"/>
  <c r="C22"/>
  <c r="B27"/>
  <c r="C15"/>
  <c r="E19"/>
  <c r="C19"/>
  <c r="C23"/>
  <c r="G25" l="1"/>
  <c r="D25"/>
  <c r="E25"/>
  <c r="F25"/>
  <c r="C25"/>
  <c r="F26"/>
  <c r="F28"/>
  <c r="G15"/>
  <c r="F13"/>
  <c r="F29"/>
  <c r="G26"/>
  <c r="F30"/>
  <c r="D26"/>
  <c r="G28"/>
  <c r="E26"/>
  <c r="F31"/>
  <c r="D30"/>
  <c r="G30"/>
  <c r="G31"/>
  <c r="G29"/>
  <c r="D29"/>
  <c r="D31"/>
  <c r="D28"/>
  <c r="E28"/>
  <c r="E29"/>
  <c r="E30"/>
  <c r="E31"/>
  <c r="C13"/>
  <c r="C26"/>
  <c r="D27"/>
  <c r="C30"/>
  <c r="C28"/>
  <c r="C21"/>
  <c r="C31"/>
  <c r="C20"/>
  <c r="F27"/>
  <c r="C27"/>
  <c r="F11"/>
  <c r="G27"/>
  <c r="C29"/>
  <c r="E27"/>
</calcChain>
</file>

<file path=xl/sharedStrings.xml><?xml version="1.0" encoding="utf-8"?>
<sst xmlns="http://schemas.openxmlformats.org/spreadsheetml/2006/main" count="101" uniqueCount="95">
  <si>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</si>
  <si>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</si>
  <si>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</si>
  <si>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</si>
  <si>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</si>
  <si>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</si>
  <si>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</si>
  <si>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</si>
  <si>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</si>
  <si>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</si>
  <si>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</si>
  <si>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</si>
  <si>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</si>
  <si>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</si>
  <si>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</si>
  <si>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</si>
  <si>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</si>
  <si>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</si>
  <si>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</si>
  <si>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</si>
  <si>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</si>
  <si>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</si>
  <si>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</si>
  <si>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</si>
  <si>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</si>
  <si>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</si>
  <si>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</si>
  <si>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</si>
  <si>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</si>
  <si>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</si>
  <si>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</si>
  <si>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</si>
  <si>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</si>
  <si>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</si>
  <si>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</si>
  <si>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</si>
  <si>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</si>
  <si>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</si>
  <si>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</si>
  <si>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</si>
  <si>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</si>
  <si>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</si>
  <si>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</si>
  <si>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</si>
  <si>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</si>
  <si>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</si>
  <si>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</si>
  <si>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</si>
  <si>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</si>
  <si>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</si>
  <si>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</si>
  <si>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</si>
  <si>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</si>
  <si>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</si>
  <si>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</si>
  <si>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</si>
  <si>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</si>
  <si>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</si>
  <si>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</si>
  <si>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</si>
  <si>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</si>
  <si>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</si>
  <si>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</si>
  <si>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</si>
  <si>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</si>
  <si>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</si>
  <si>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</si>
  <si>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</si>
  <si>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</si>
  <si>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</si>
  <si>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</si>
  <si>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</si>
  <si>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</si>
  <si>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</si>
  <si>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</si>
  <si>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</si>
  <si>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</si>
  <si>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PubchemFingerprinter</t>
  </si>
  <si>
    <t>ShortestPathFingerprinter</t>
  </si>
  <si>
    <t>SignatureFingerprinter</t>
    <phoneticPr fontId="1"/>
  </si>
  <si>
    <t>CCOCC</t>
    <phoneticPr fontId="1"/>
  </si>
  <si>
    <t>Tanimoto</t>
    <phoneticPr fontId="1"/>
  </si>
  <si>
    <t>CircularFingerprinter</t>
  </si>
  <si>
    <t>CircularFingerprinter</t>
    <phoneticPr fontId="1"/>
  </si>
  <si>
    <t>MACCSFingerprinter</t>
    <phoneticPr fontId="1"/>
  </si>
  <si>
    <t>CircularFingerprinter_ECFP2</t>
    <phoneticPr fontId="1"/>
  </si>
  <si>
    <t>CircularFingerprinter_ECFP4</t>
    <phoneticPr fontId="1"/>
  </si>
  <si>
    <t>CircularFingerprinter_ECFP0</t>
    <phoneticPr fontId="1"/>
  </si>
  <si>
    <t>CircularFingerprinter_ECFP6</t>
    <phoneticPr fontId="1"/>
  </si>
  <si>
    <t>CircularFingerprinter_FCFP0</t>
    <phoneticPr fontId="1"/>
  </si>
  <si>
    <t>CircularFingerprinter_FCFP2</t>
    <phoneticPr fontId="1"/>
  </si>
  <si>
    <t>CircularFingerprinter_FCFP4</t>
    <phoneticPr fontId="1"/>
  </si>
  <si>
    <t>CircularFingerprinter_FCFP6</t>
    <phoneticPr fontId="1"/>
  </si>
  <si>
    <t>CCC</t>
    <phoneticPr fontId="1"/>
  </si>
  <si>
    <t>propane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</si>
</sst>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B3" sqref="B3"/>
    </sheetView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94</v>
      </c>
      <c r="B2" t="s">
        <v>93</v>
      </c>
    </row>
    <row r="3" spans="1:2">
      <c r="A3" t="s">
        <v>63</v>
      </c>
      <c r="B3" t="s">
        <v>0</v>
      </c>
    </row>
    <row r="4" spans="1:2">
      <c r="A4" t="s">
        <v>64</v>
      </c>
      <c r="B4" t="s">
        <v>80</v>
      </c>
    </row>
    <row r="5" spans="1:2">
      <c r="A5" t="s">
        <v>65</v>
      </c>
      <c r="B5" t="s">
        <v>66</v>
      </c>
    </row>
    <row r="6" spans="1:2">
      <c r="A6" t="s">
        <v>68</v>
      </c>
      <c r="B6" t="s">
        <v>67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CCC</v>
      </c>
      <c r="B2" t="str">
        <f>CDK_AcidicGroupCountDescriptor($A2)</f>
        <v>0</v>
      </c>
      <c r="C2" t="str">
        <f>CDK_ALOGPDescriptor($A2)</f>
        <v>-0.1854,0.03437316,14.709</v>
      </c>
      <c r="D2" t="str">
        <f>CDK_APolDescriptor($A2)</f>
        <v>10.614344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11</v>
      </c>
      <c r="H2" t="str">
        <f>CDK_AutocorrelationDescriptorCharge($A2)</f>
        <v>0,0,0,0,0</v>
      </c>
      <c r="I2" t="str">
        <f>CDK_AutocorrelationDescriptorMass($A2)</f>
        <v>3,2,1,0,0</v>
      </c>
      <c r="J2" t="str">
        <f>CDK_AutocorrelationDescriptorPolarizability($A2)</f>
        <v>66.754635125,46.1250555,20.2342530625,0,0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0.194598407923705,-0.0910121789036757,-0.00628702505817703,0,0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workbookViewId="0">
      <selection activeCell="A6" sqref="A6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6</v>
      </c>
      <c r="E2" t="str">
        <f t="shared" si="0"/>
        <v>2.047</v>
      </c>
      <c r="F2" t="str">
        <f t="shared" si="0"/>
        <v>4,0</v>
      </c>
      <c r="G2" t="str">
        <f>CDK_MolecularDescriptorValue(G$1,$A2)</f>
        <v>NaN,NaN,NaN,NaN,NaN,NaN,NaN,NaN,NaN,NaN,NaN,NaN,NaN,NaN,NaN,NaN,NaN</v>
      </c>
      <c r="H2" t="str">
        <f t="shared" si="0"/>
        <v>4.91421356237309,1.6380711874577,0,0,0</v>
      </c>
      <c r="I2" t="str">
        <f t="shared" si="0"/>
        <v>44.06260032</v>
      </c>
      <c r="J2" t="str">
        <f t="shared" si="0"/>
        <v>2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1,NaN</v>
      </c>
      <c r="P2" t="str">
        <f t="shared" si="0"/>
        <v>0.5</v>
      </c>
      <c r="Q2" t="str">
        <f t="shared" si="0"/>
        <v>NaN,NaN,NaN,NaN,NaN,NaN,NaN</v>
      </c>
      <c r="R2" t="str">
        <f t="shared" si="0"/>
        <v>0.5,2,0,0,0,0,0,0,0,0,0,0,0,0,0,0,0,0,0</v>
      </c>
      <c r="S2" t="str">
        <f t="shared" si="0"/>
        <v>1.79</v>
      </c>
      <c r="T2" t="str">
        <f t="shared" si="0"/>
        <v>3</v>
      </c>
      <c r="U2" t="str">
        <f t="shared" si="0"/>
        <v>NaN,NaN</v>
      </c>
      <c r="V2" t="str">
        <f t="shared" si="0"/>
        <v>0</v>
      </c>
      <c r="W2" t="str">
        <f t="shared" si="0"/>
        <v>3</v>
      </c>
      <c r="X2" t="str">
        <f t="shared" si="0"/>
        <v>0,0,0,0,0,0,2,0,1,0,0,0,0,0,0,0,0,0,0,0,0,0,0,0,0,0,0,0,0,0,0,0,0,0,0,0,0,0,0,0,0,0,0,0,0,0,0,0,0,0,0,0,0,0,0,0,0,0,0,0,0,0,0,0,0,0,0,0,0,0,0,0,0,0,0,0,0,0,0</v>
      </c>
      <c r="Y2" t="str">
        <f t="shared" si="0"/>
        <v>3,2,0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94</v>
      </c>
      <c r="AE2" t="str">
        <f t="shared" si="0"/>
        <v>0</v>
      </c>
      <c r="AF2" t="str">
        <f t="shared" si="0"/>
        <v>6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2.70710678118655,1.41421356237309,0.707106781186547,0,0,0,0,0,2.70710678118655,1.41421356237309,0.707106781186547,0,0,0,0,0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0,0,0,0,0,2,1,0,0</v>
      </c>
      <c r="AM2" t="str">
        <f t="shared" si="0"/>
        <v>8.745656</v>
      </c>
      <c r="AN2" t="str">
        <f t="shared" si="0"/>
        <v>2</v>
      </c>
      <c r="AO2" t="str">
        <f t="shared" si="0"/>
        <v>11.89,12.1100181788139,-0.171994663421725,0.0481317935790686,4.47952521018394,5.14569107346503</v>
      </c>
      <c r="AP2" t="str">
        <f t="shared" si="0"/>
        <v>0</v>
      </c>
      <c r="AQ2" t="str">
        <f t="shared" si="0"/>
        <v>66.754635125,46.1250555,20.2342530625,0,0</v>
      </c>
      <c r="AR2" t="str">
        <f t="shared" si="0"/>
        <v>3,2,1,0,0</v>
      </c>
      <c r="AS2" t="str">
        <f t="shared" si="0"/>
        <v>0,0,0,0,0</v>
      </c>
      <c r="AT2" t="str">
        <f t="shared" si="0"/>
        <v>11</v>
      </c>
      <c r="AU2" t="str">
        <f t="shared" si="0"/>
        <v>0</v>
      </c>
      <c r="AV2" t="str">
        <f t="shared" si="0"/>
        <v>0</v>
      </c>
      <c r="AW2" t="str">
        <f t="shared" si="0"/>
        <v>10.614344</v>
      </c>
      <c r="AX2" t="str">
        <f t="shared" si="0"/>
        <v>-0.1854,0.03437316,14.709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6.73205080756888,1.68301270189222,4.48803387171258,4.48803387171258,0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0.194598407923705,-0.0910121789036757,-0.00628702505817703,0,0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4.12132034355964,2.41421356237309,1.35355339059327,0.707106781186548,0.353553390593274,0,0,0,3.82246185283696,1.99156383156272,0.781474414421557,0.408248290463863,0.204124145231932,0,0,0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4.12132034355964,2.41421356237309,1.35355339059327,0.707106781186548,0.353553390593274,0,0,0,3.91421356237309,2.12132034355964,0.957106781186547,0.5,0.25,0,0,0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11.89,14.0030760575576,-0.316501120847175,0.0826112404291418,4.87422799052455,6.02352117144864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4.24264068711929,3,2.12132034355964,1.5,1.06066017177982,0.75,0,0,3.46410161513775,2,1.15470053837925,0.666666666666667,0.384900179459751,0.222222222222222,0,0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6"/>
  <sheetViews>
    <sheetView tabSelected="1" zoomScale="205" zoomScaleNormal="205" workbookViewId="0">
      <selection activeCell="D2" sqref="D2"/>
    </sheetView>
  </sheetViews>
  <sheetFormatPr defaultRowHeight="13"/>
  <cols>
    <col min="2" max="3" width="8.7265625" customWidth="1"/>
    <col min="4" max="4" width="8.6328125" customWidth="1"/>
  </cols>
  <sheetData>
    <row r="1" spans="1:4">
      <c r="A1" t="str">
        <f>Compounds!B1</f>
        <v>Smiles</v>
      </c>
      <c r="B1" t="s">
        <v>69</v>
      </c>
      <c r="C1" t="s">
        <v>69</v>
      </c>
      <c r="D1" t="s">
        <v>79</v>
      </c>
    </row>
    <row r="2" spans="1:4">
      <c r="A2" t="str">
        <f>Compounds!B2</f>
        <v>CCC</v>
      </c>
      <c r="B2" t="str">
        <f>CDK_CircularFingerprinter($A2)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>CDK_ECFP4($A2)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t="str">
        <f>CDK_SignatureFingerprinterAsJson($A2)</f>
        <v>{"[C]([C])":2,"[C]([C][C])":1}</v>
      </c>
    </row>
    <row r="3" spans="1:4">
      <c r="A3" t="str">
        <f>Compounds!B3</f>
        <v>CC(=O)O</v>
      </c>
      <c r="B3" t="str">
        <f>CDK_CircularFingerprinter($A3)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ref="C3:C6" si="0">CDK_ECFP4($A3)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ref="D3:D6" si="1">CDK_SignatureFingerprinterAsJson($A3)</f>
        <v>{"[C]([C])":1,"[C]([C][O]=[O])":1,"[O](=[C])":1,"[O]([C])":1}</v>
      </c>
    </row>
    <row r="4" spans="1:4">
      <c r="A4" t="str">
        <f>Compounds!B4</f>
        <v>CCOCC</v>
      </c>
      <c r="B4" t="str">
        <f t="shared" ref="B4:B6" si="2">CDK_CircularFingerprinter($A4)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D4" t="str">
        <f t="shared" si="1"/>
        <v>{"[C]([C])":2,"[C]([C][O])":2,"[O]([C][C])":1}</v>
      </c>
    </row>
    <row r="5" spans="1:4">
      <c r="A5" t="str">
        <f>Compounds!B5</f>
        <v>CCNCC</v>
      </c>
      <c r="B5" t="str">
        <f t="shared" si="2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D5" t="str">
        <f t="shared" si="1"/>
        <v>{"[C]([C])":2,"[C]([C][N])":2,"[N]([C][C])":1}</v>
      </c>
    </row>
    <row r="6" spans="1:4">
      <c r="A6" t="str">
        <f>Compounds!B6</f>
        <v>c1ccccc1</v>
      </c>
      <c r="B6" t="str">
        <f t="shared" si="2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workbookViewId="0">
      <selection activeCell="S5" sqref="S5"/>
    </sheetView>
  </sheetViews>
  <sheetFormatPr defaultRowHeight="13"/>
  <sheetData>
    <row r="1" spans="1:20">
      <c r="A1" t="str">
        <f>Compounds!B1</f>
        <v>Smiles</v>
      </c>
      <c r="B1" t="s">
        <v>83</v>
      </c>
      <c r="C1" t="s">
        <v>87</v>
      </c>
      <c r="D1" t="s">
        <v>85</v>
      </c>
      <c r="E1" t="s">
        <v>86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84</v>
      </c>
      <c r="R1" t="s">
        <v>77</v>
      </c>
      <c r="S1" t="s">
        <v>78</v>
      </c>
      <c r="T1" t="s">
        <v>70</v>
      </c>
    </row>
    <row r="2" spans="1:20">
      <c r="A2" t="str">
        <f>Compounds!B2</f>
        <v>CCC</v>
      </c>
      <c r="B2" t="str">
        <f t="shared" ref="B2:T6" si="0">CDK_BitFingerprinterValue(B$1,$A2)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E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F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G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2" t="str">
        <f t="shared" si="0"/>
        <v>1111110101111111111111111111111111111111111111111111111111111111111111111111111</v>
      </c>
      <c r="L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0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2" t="str">
        <f>CDK_BitFingerprinterValue(O$1,$A2)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2" t="str">
        <f t="shared" si="0"/>
        <v>1111111111111111111111111111111111111111111111111111111111111111111111111011111111111111111111111111111111111111101111111111111111111111111111111111011111011110111111</v>
      </c>
      <c r="R2" t="str">
        <f t="shared" si="0"/>
        <v>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0111111111110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2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</v>
      </c>
      <c r="T2" t="str">
        <f t="shared" si="0"/>
        <v>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</row>
    <row r="3" spans="1:20">
      <c r="A3" t="str">
        <f>Compounds!B3</f>
        <v>CC(=O)O</v>
      </c>
      <c r="B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si="0"/>
        <v>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F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G3" t="str">
        <f t="shared" si="0"/>
        <v>010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I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J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K3" t="str">
        <f t="shared" si="0"/>
        <v>1111110111111110111111111111111110011111111111111111111111111111111111111111111</v>
      </c>
      <c r="L3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0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01111111111111111111111111111111111111111110111</v>
      </c>
      <c r="M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</v>
      </c>
      <c r="O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01111111111111111111111111111111111111111111111111111111111111111111110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011111111111111111111111111111111111111111111111110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</v>
      </c>
      <c r="P3" t="str">
        <f t="shared" si="0"/>
        <v>111110111111111111111111111111111111111111111111111111111111111111111111111111111111111111111111111111111111111111111111111111111111111111111111111110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3" t="str">
        <f t="shared" si="0"/>
        <v>1111111111111111111111111111111111111111111111111111111111111111111111111111111111111111111111111111111111111111111111111101111111111111110111111111111110110100111011</v>
      </c>
      <c r="R3" t="str">
        <f t="shared" si="0"/>
        <v>11111111101111111100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0111111111111111111111111111111111110111111101111111111111111111110111110111111111111111111111111101111111111111011111111111111111110110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3" t="e">
        <f t="shared" si="0"/>
        <v>#VALUE!</v>
      </c>
      <c r="T3" t="str">
        <f t="shared" si="0"/>
        <v>0111111111111111111111111111111111111111111111111111111111111111111111111111111111101110111111111111111111111111111111111111111111111111111111111111111111111111111111111111111111111111111111111111111111111111111111111111111111111111111111111111111111111111111111111111111111111111111111111111110111101111111</v>
      </c>
    </row>
    <row r="4" spans="1:20">
      <c r="A4" t="str">
        <f>Compounds!B4</f>
        <v>CCOCC</v>
      </c>
      <c r="B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E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G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I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J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K4" t="str">
        <f t="shared" si="0"/>
        <v>1111110101111111111111111111111111101111111111111111111111111111111111111111111</v>
      </c>
      <c r="L4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111111111111111111111111111111111111111111111111111111111111111111101111111111111111111111111111111111111111101111111111111111111111111111111111111111111110111</v>
      </c>
      <c r="M4" t="str">
        <f t="shared" si="0"/>
        <v>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0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011111111111111111111111111111111111111111111111111111111111111111111111111111111111111111011111111111110011111111111111111111111111111111111111111111111111111111111111111111111111111111111111110111111111111111111111111111111111111111111111111111111111111111111111111111111111111111111111111101111111111111111111111111111111111111111111111111111111111111111111111111111111111111111111111</v>
      </c>
      <c r="O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0110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4" t="str">
        <f t="shared" si="0"/>
        <v>11111111111111111111111111111111111111111111111111111111111111111111111111111111111111111111111111111111111111111111111111111111111011111111111111111111111111111111111111111111111111111111111111111111111111111111111101110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4" t="str">
        <f t="shared" si="0"/>
        <v>1111111111111111111111111111111111111111111111111111111111111111111111111111111111111011111111111111111111110111101011111111101111111111101111111111011101010110111011</v>
      </c>
      <c r="R4" t="str">
        <f t="shared" si="0"/>
        <v>11111111100111111101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11111111111111111111111111111111111101011111011111111111110111111101111111111111111111111111111110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4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01111011111111111111111111111111111111111111111111111110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011111111111111111111111111111111111111111111111111111111111111111111111110111111111111111111111111111111111111111111111111011111111111111111111111111111111111111110111111111111101111111111111111111111111111111111111111111111111111111111111011111111111111111</v>
      </c>
      <c r="T4" t="str">
        <f t="shared" si="0"/>
        <v>0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1</v>
      </c>
    </row>
    <row r="5" spans="1:20">
      <c r="A5" t="str">
        <f>Compounds!B5</f>
        <v>CCNCC</v>
      </c>
      <c r="B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E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F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J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K5" t="str">
        <f t="shared" si="0"/>
        <v>1111110101111111111111101111111111111111111111111111111111111111111111111111111</v>
      </c>
      <c r="L5" t="str">
        <f t="shared" si="0"/>
        <v>11111111111111111111111111111111111111111111111111111111111111111111111111111111111111111111111111111111111111111111111111111111111111111111111111111111111111111111111111111111111111101111111111111111111111111111111111101111111011111111111111111111111111111110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5" t="str">
        <f t="shared" si="0"/>
        <v>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0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1110111111111111111111111111111111110111111111111111111111</v>
      </c>
      <c r="N5" t="str">
        <f t="shared" si="0"/>
        <v>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0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01111111111111111111111111111111111111111111111111101111111111111111111</v>
      </c>
      <c r="O5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0111111110111111111111111111111111111111111111111111111111111111111111111111111111111111111111111111111111111111111111111111111111111111111111111111111111111111111111111111111111111111111111111111111111011111110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0111111111111111111111111111111111111111111111111111111111111111111111111111111111111111111111111111011111111111111111111111111111111111111111110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5" t="str">
        <f t="shared" si="0"/>
        <v>111111111111111111111111111111111111111111111111111111111111111111111111111111111111111111111111111111111111111111111111111111111110111111111111111111111111111111111111111111111111111111111111111111111111111111111111011110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5" t="str">
        <f t="shared" si="0"/>
        <v>1111111111111111111111111111111111111111111111111111111111111111111111111111111110111011111111111110111111111111101011111111111111111111101111111111010101011010011111</v>
      </c>
      <c r="R5" t="str">
        <f t="shared" si="0"/>
        <v>11111111100111011111111111111111111111111111111111111111111111111111111111111111111111111111111111111111111111111111111111111111111111111111111111111111111111111111111111111111111111111111111111111111111111111111111111111111111111111111111111111111111111111111111111111111111111111110001111111111111011111111111111111111111111111111111111111111001111101111111111111011111111011111111111111101001111111111111111111111111111111111111111111111111111111111111111111111111111111111111111111111111111111111111111111111111111111111111101111111111101111111111111111111111111111111111111111111111111111111111111111111111111111111111111111111111111111110111111111111011111111111111111111111111111111111111111111111111111111111111111111111111111111111111111111111111111111111111111111111111111111111111111111111111111111111111111111111111111111111111111111111111111111111111111111111111111111</v>
      </c>
      <c r="S5" t="str">
        <f t="shared" si="0"/>
        <v>1111111111111111011111111111111111111111111111111111111111111111111111111111111111011111111111111111111111111111111011110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0111111111111111111111111111111111111111111111111111111111111111111111111111111111111101110111111111111111111111111111111111110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0111111111111111</v>
      </c>
      <c r="T5" t="str">
        <f t="shared" si="0"/>
        <v>0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0</v>
      </c>
    </row>
    <row r="6" spans="1:20">
      <c r="A6" t="str">
        <f>Compounds!B6</f>
        <v>c1ccccc1</v>
      </c>
      <c r="B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E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F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G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6" t="str">
        <f t="shared" si="0"/>
        <v>1111111111101111111111111111111111111111111111111111111111111111111111111111111</v>
      </c>
      <c r="L6" t="str">
        <f t="shared" si="0"/>
        <v>1111111111111111111111111111111111111111111111111111101111111111111111111111110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11111111111111111111111111111111111111111111111111101110</v>
      </c>
      <c r="M6" t="str">
        <f t="shared" si="0"/>
        <v>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0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6" t="str">
        <f t="shared" si="0"/>
        <v>1111111111111111111111111111111111111111111111111111111111111111111111111111111111111111111111101111111111111111111111111111111111111111111111111111111111111111101111111111111111111111111111111111111111111111111110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6" t="str">
        <f t="shared" si="0"/>
        <v>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</v>
      </c>
      <c r="Q6" t="str">
        <f t="shared" si="0"/>
        <v>1111111111111111111111111111111111111111111111111111111111111111111111111111111111111111111111111111111111111111111111111111111111111111111111111111111111111111100101</v>
      </c>
      <c r="R6" t="str">
        <f t="shared" si="0"/>
        <v>11111111100111111111111111111111111111111111111111111111111111111111111111111111111111111111111111111111111111111111111111111111111111111111111111111111111111111111111111111111110011111111111111111111111111111111111111111111111111111111111111111111111111101111111111111111111111111110011111111111111111111111111111111111111111111111011111111111011111111110111111111111110011111111111101111111111111111111111111111111011111111111111111011111101111011111111111111111111111011111111111111111110111111111111111111111111101110111011111111111111111111111111101110111111101111101111111011101011111111110111011101111011111111101111111111111110111110111111111111111111101110111011111111000111111111111111111111111111111111111111111111111111111111111111111111111111111111111111111111111111111111111111111111111111111111111111111111111111111111111111111111111111111111111111111111111111111111</v>
      </c>
      <c r="S6" t="e">
        <f t="shared" si="0"/>
        <v>#VALUE!</v>
      </c>
      <c r="T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31"/>
  <sheetViews>
    <sheetView workbookViewId="0"/>
  </sheetViews>
  <sheetFormatPr defaultRowHeight="13"/>
  <cols>
    <col min="1" max="1" width="12.81640625" customWidth="1"/>
  </cols>
  <sheetData>
    <row r="1" spans="1:10">
      <c r="A1" t="s">
        <v>81</v>
      </c>
      <c r="C1" t="str">
        <f>A3</f>
        <v>CCC</v>
      </c>
      <c r="D1" t="str">
        <f>A4</f>
        <v>CC(=O)O</v>
      </c>
      <c r="E1" t="str">
        <f>A5</f>
        <v>CCOCC</v>
      </c>
      <c r="F1" t="str">
        <f>A6</f>
        <v>CCNCC</v>
      </c>
      <c r="G1" t="str">
        <f>A7</f>
        <v>c1ccccc1</v>
      </c>
    </row>
    <row r="2" spans="1:10" s="1" customFormat="1">
      <c r="B2" s="2" t="s">
        <v>82</v>
      </c>
      <c r="C2" s="1" t="str">
        <f>CDK_BitFingerprinterValue($B$2, C1)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s="1" t="str">
        <f>CDK_BitFingerprinterValue($B$2, D1)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2" s="1" t="str">
        <f>CDK_BitFingerprinterValue($B$2, E1)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2" s="1" t="str">
        <f>CDK_BitFingerprinterValue($B$2, F1)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2" s="1" t="str">
        <f>CDK_BitFingerprinterValue($B$2, G1)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3" spans="1:10">
      <c r="A3" t="str">
        <f>Compounds!B2</f>
        <v>CCC</v>
      </c>
      <c r="B3" s="1" t="str">
        <f>CDK_BitFingerprinterValue($B$2, A3)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3">
        <f>CDK_Tanimoto($B3,C$2)</f>
        <v>1</v>
      </c>
      <c r="D3">
        <f t="shared" ref="D3:G7" si="0">CDK_Tanimoto($B3,D$2)</f>
        <v>0.99022482893450636</v>
      </c>
      <c r="E3">
        <f t="shared" si="0"/>
        <v>0.99412340842311464</v>
      </c>
      <c r="F3">
        <f t="shared" si="0"/>
        <v>0.99412340842311464</v>
      </c>
      <c r="G3">
        <f t="shared" si="0"/>
        <v>0.9921875</v>
      </c>
      <c r="J3" s="1"/>
    </row>
    <row r="4" spans="1:10">
      <c r="A4" t="str">
        <f>Compounds!B3</f>
        <v>CC(=O)O</v>
      </c>
      <c r="B4" s="1" t="str">
        <f>CDK_BitFingerprinterValue($B$2, A4)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4">
        <f t="shared" ref="C4:C7" si="1">CDK_Tanimoto($B4,C$2)</f>
        <v>0.99022482893450636</v>
      </c>
      <c r="D4">
        <f t="shared" si="0"/>
        <v>1</v>
      </c>
      <c r="E4">
        <f t="shared" si="0"/>
        <v>0.98631476050830891</v>
      </c>
      <c r="F4">
        <f t="shared" si="0"/>
        <v>0.98631476050830891</v>
      </c>
      <c r="G4">
        <f t="shared" si="0"/>
        <v>0.98828125</v>
      </c>
      <c r="J4" s="1"/>
    </row>
    <row r="5" spans="1:10">
      <c r="A5" t="str">
        <f>Compounds!B4</f>
        <v>CCOCC</v>
      </c>
      <c r="B5" s="1" t="str">
        <f>CDK_BitFingerprinterValue($B$2, A5)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5">
        <f t="shared" si="1"/>
        <v>0.99412340842311464</v>
      </c>
      <c r="D5">
        <f t="shared" si="0"/>
        <v>0.98631476050830891</v>
      </c>
      <c r="E5">
        <f t="shared" si="0"/>
        <v>1</v>
      </c>
      <c r="F5">
        <f t="shared" si="0"/>
        <v>0.99020568070519099</v>
      </c>
      <c r="G5">
        <f t="shared" si="0"/>
        <v>0.98828125</v>
      </c>
      <c r="J5" s="1"/>
    </row>
    <row r="6" spans="1:10">
      <c r="A6" t="str">
        <f>Compounds!B5</f>
        <v>CCNCC</v>
      </c>
      <c r="B6" s="1" t="str">
        <f>CDK_BitFingerprinterValue($B$2, A6)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6">
        <f t="shared" si="1"/>
        <v>0.99412340842311464</v>
      </c>
      <c r="D6">
        <f t="shared" si="0"/>
        <v>0.98631476050830891</v>
      </c>
      <c r="E6">
        <f t="shared" si="0"/>
        <v>0.99020568070519099</v>
      </c>
      <c r="F6">
        <f t="shared" si="0"/>
        <v>1</v>
      </c>
      <c r="G6">
        <f t="shared" si="0"/>
        <v>0.98828125</v>
      </c>
      <c r="J6" s="1"/>
    </row>
    <row r="7" spans="1:10">
      <c r="A7" t="str">
        <f>Compounds!B6</f>
        <v>c1ccccc1</v>
      </c>
      <c r="B7" s="1" t="str">
        <f>CDK_BitFingerprinterValue($B$2, A7)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7">
        <f t="shared" si="1"/>
        <v>0.9921875</v>
      </c>
      <c r="D7">
        <f t="shared" si="0"/>
        <v>0.98828125</v>
      </c>
      <c r="E7">
        <f t="shared" si="0"/>
        <v>0.98828125</v>
      </c>
      <c r="F7">
        <f t="shared" si="0"/>
        <v>0.98828125</v>
      </c>
      <c r="G7">
        <f t="shared" si="0"/>
        <v>1</v>
      </c>
      <c r="J7" s="1"/>
    </row>
    <row r="9" spans="1:10">
      <c r="A9" t="s">
        <v>81</v>
      </c>
      <c r="C9" t="str">
        <f>A11</f>
        <v>CCC</v>
      </c>
      <c r="D9" t="str">
        <f>A12</f>
        <v>CC(=O)O</v>
      </c>
      <c r="E9" t="str">
        <f>A13</f>
        <v>CCOCC</v>
      </c>
      <c r="F9" t="str">
        <f>A14</f>
        <v>CCNCC</v>
      </c>
      <c r="G9" t="str">
        <f>A15</f>
        <v>c1ccccc1</v>
      </c>
    </row>
    <row r="10" spans="1:10">
      <c r="B10" s="2" t="s">
        <v>84</v>
      </c>
      <c r="C10" s="1" t="str">
        <f>CDK_BitFingerprinterValue($B$10, C9)</f>
        <v>1111111111111111111111111111111111111111111111111111111111111111111111111011111111111111111111111111111111111111101111111111111111111111111111111111011111011110111111</v>
      </c>
      <c r="D10" s="1" t="str">
        <f>CDK_BitFingerprinterValue($B$10, D9)</f>
        <v>1111111111111111111111111111111111111111111111111111111111111111111111111111111111111111111111111111111111111111111111111101111111111111110111111111111110110100111011</v>
      </c>
      <c r="E10" s="1" t="str">
        <f>CDK_BitFingerprinterValue($B$10, E9)</f>
        <v>1111111111111111111111111111111111111111111111111111111111111111111111111111111111111011111111111111111111110111101011111111101111111111101111111111011101010110111011</v>
      </c>
      <c r="F10" s="1" t="str">
        <f>CDK_BitFingerprinterValue($B$10, F9)</f>
        <v>1111111111111111111111111111111111111111111111111111111111111111111111111111111110111011111111111110111111111111101011111111111111111111101111111111010101011010011111</v>
      </c>
      <c r="G10" s="1" t="str">
        <f>CDK_BitFingerprinterValue($B$10, G9)</f>
        <v>1111111111111111111111111111111111111111111111111111111111111111111111111111111111111111111111111111111111111111111111111111111111111111111111111111111111111111100101</v>
      </c>
    </row>
    <row r="11" spans="1:10">
      <c r="A11" t="str">
        <f>A3</f>
        <v>CCC</v>
      </c>
      <c r="B11" s="1" t="str">
        <f>CDK_BitFingerprinterValue($B$10, A11)</f>
        <v>1111111111111111111111111111111111111111111111111111111111111111111111111011111111111111111111111111111111111111101111111111111111111111111111111111011111011110111111</v>
      </c>
      <c r="C11">
        <f>CDK_Tanimoto($B11,C$10)</f>
        <v>1</v>
      </c>
      <c r="D11">
        <f t="shared" ref="D11:G15" si="2">CDK_Tanimoto($B11,D$10)</f>
        <v>0.93939393939393945</v>
      </c>
      <c r="E11">
        <f t="shared" si="2"/>
        <v>0.94444444444444442</v>
      </c>
      <c r="F11">
        <f t="shared" si="2"/>
        <v>0.93827160493827155</v>
      </c>
      <c r="G11">
        <f t="shared" si="2"/>
        <v>0.95180722891566261</v>
      </c>
    </row>
    <row r="12" spans="1:10">
      <c r="A12" t="str">
        <f t="shared" ref="A12" si="3">A4</f>
        <v>CC(=O)O</v>
      </c>
      <c r="B12" s="1" t="str">
        <f>CDK_BitFingerprinterValue($B$10, A12)</f>
        <v>1111111111111111111111111111111111111111111111111111111111111111111111111111111111111111111111111111111111111111111111111101111111111111110111111111111110110100111011</v>
      </c>
      <c r="C12">
        <f t="shared" ref="C12:C15" si="4">CDK_Tanimoto($B12,C$10)</f>
        <v>0.93939393939393945</v>
      </c>
      <c r="D12">
        <f t="shared" si="2"/>
        <v>1</v>
      </c>
      <c r="E12">
        <f t="shared" si="2"/>
        <v>0.92024539877300615</v>
      </c>
      <c r="F12">
        <f t="shared" si="2"/>
        <v>0.89090909090909087</v>
      </c>
      <c r="G12">
        <f t="shared" si="2"/>
        <v>0.93975903614457834</v>
      </c>
    </row>
    <row r="13" spans="1:10">
      <c r="A13" t="str">
        <f t="shared" ref="A13" si="5">A5</f>
        <v>CCOCC</v>
      </c>
      <c r="B13" s="1" t="str">
        <f>CDK_BitFingerprinterValue($B$10, A13)</f>
        <v>1111111111111111111111111111111111111111111111111111111111111111111111111111111111111011111111111111111111110111101011111111101111111111101111111111011101010110111011</v>
      </c>
      <c r="C13">
        <f t="shared" si="4"/>
        <v>0.94444444444444442</v>
      </c>
      <c r="D13">
        <f t="shared" si="2"/>
        <v>0.92024539877300615</v>
      </c>
      <c r="E13">
        <f t="shared" si="2"/>
        <v>1</v>
      </c>
      <c r="F13">
        <f t="shared" si="2"/>
        <v>0.94303797468354433</v>
      </c>
      <c r="G13">
        <f t="shared" si="2"/>
        <v>0.90963855421686746</v>
      </c>
    </row>
    <row r="14" spans="1:10">
      <c r="A14" t="str">
        <f t="shared" ref="A14" si="6">A6</f>
        <v>CCNCC</v>
      </c>
      <c r="B14" s="1" t="str">
        <f>CDK_BitFingerprinterValue($B$10, A14)</f>
        <v>1111111111111111111111111111111111111111111111111111111111111111111111111111111110111011111111111110111111111111101011111111111111111111101111111111010101011010011111</v>
      </c>
      <c r="C14">
        <f t="shared" si="4"/>
        <v>0.93827160493827155</v>
      </c>
      <c r="D14">
        <f t="shared" si="2"/>
        <v>0.89090909090909087</v>
      </c>
      <c r="E14">
        <f t="shared" si="2"/>
        <v>0.94303797468354433</v>
      </c>
      <c r="F14">
        <f t="shared" si="2"/>
        <v>1</v>
      </c>
      <c r="G14">
        <f t="shared" si="2"/>
        <v>0.90361445783132532</v>
      </c>
    </row>
    <row r="15" spans="1:10">
      <c r="A15" t="str">
        <f t="shared" ref="A15" si="7">A7</f>
        <v>c1ccccc1</v>
      </c>
      <c r="B15" s="1" t="str">
        <f>CDK_BitFingerprinterValue($B$10, A15)</f>
        <v>1111111111111111111111111111111111111111111111111111111111111111111111111111111111111111111111111111111111111111111111111111111111111111111111111111111111111111100101</v>
      </c>
      <c r="C15">
        <f t="shared" si="4"/>
        <v>0.95180722891566261</v>
      </c>
      <c r="D15">
        <f t="shared" si="2"/>
        <v>0.93975903614457834</v>
      </c>
      <c r="E15">
        <f t="shared" si="2"/>
        <v>0.90963855421686746</v>
      </c>
      <c r="F15">
        <f t="shared" si="2"/>
        <v>0.90361445783132532</v>
      </c>
      <c r="G15">
        <f t="shared" si="2"/>
        <v>1</v>
      </c>
    </row>
    <row r="17" spans="1:7">
      <c r="A17" t="s">
        <v>81</v>
      </c>
      <c r="C17" t="str">
        <f>A19</f>
        <v>CCC</v>
      </c>
      <c r="D17" t="str">
        <f>A20</f>
        <v>CC(=O)O</v>
      </c>
      <c r="E17" t="str">
        <f>A21</f>
        <v>CCOCC</v>
      </c>
      <c r="F17" t="str">
        <f>A22</f>
        <v>CCNCC</v>
      </c>
      <c r="G17" t="str">
        <f>A23</f>
        <v>c1ccccc1</v>
      </c>
    </row>
    <row r="18" spans="1:7">
      <c r="B18" s="2" t="s">
        <v>86</v>
      </c>
      <c r="C18" s="1" t="str">
        <f>CDK_BitFingerprinterValue($B$18, C17)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18" s="1" t="str">
        <f t="shared" ref="D18:G18" si="8">CDK_BitFingerprinterValue($B$18, D17)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18" s="1" t="str">
        <f t="shared" si="8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18" s="1" t="str">
        <f t="shared" si="8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18" s="1" t="str">
        <f t="shared" si="8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19" spans="1:7">
      <c r="A19" t="str">
        <f>A11</f>
        <v>CCC</v>
      </c>
      <c r="B19" s="1" t="str">
        <f>CDK_BitFingerprinterValue($B$18, A19)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19">
        <f>CDK_Tanimoto($B19,C$18)</f>
        <v>1</v>
      </c>
      <c r="D19">
        <f t="shared" ref="D19:G23" si="9">CDK_Tanimoto($B19,D$18)</f>
        <v>0.99022482893450636</v>
      </c>
      <c r="E19">
        <f t="shared" si="9"/>
        <v>0.99412340842311464</v>
      </c>
      <c r="F19">
        <f t="shared" si="9"/>
        <v>0.99412340842311464</v>
      </c>
      <c r="G19">
        <f t="shared" si="9"/>
        <v>0.9931640625</v>
      </c>
    </row>
    <row r="20" spans="1:7">
      <c r="A20" t="str">
        <f t="shared" ref="A20:A23" si="10">A12</f>
        <v>CC(=O)O</v>
      </c>
      <c r="B20" s="1" t="str">
        <f t="shared" ref="B20:B23" si="11">CDK_BitFingerprinterValue($B$18, A20)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20">
        <f t="shared" ref="C20:C23" si="12">CDK_Tanimoto($B20,C$18)</f>
        <v>0.99022482893450636</v>
      </c>
      <c r="D20">
        <f t="shared" si="9"/>
        <v>1</v>
      </c>
      <c r="E20">
        <f t="shared" si="9"/>
        <v>0.98631476050830891</v>
      </c>
      <c r="F20">
        <f t="shared" si="9"/>
        <v>0.98631476050830891</v>
      </c>
      <c r="G20">
        <f t="shared" si="9"/>
        <v>0.9892578125</v>
      </c>
    </row>
    <row r="21" spans="1:7">
      <c r="A21" t="str">
        <f t="shared" si="10"/>
        <v>CCOCC</v>
      </c>
      <c r="B21" s="1" t="str">
        <f t="shared" si="11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21">
        <f t="shared" si="12"/>
        <v>0.99412340842311464</v>
      </c>
      <c r="D21">
        <f t="shared" si="9"/>
        <v>0.98631476050830891</v>
      </c>
      <c r="E21">
        <f t="shared" si="9"/>
        <v>1</v>
      </c>
      <c r="F21">
        <f t="shared" si="9"/>
        <v>0.99020568070519099</v>
      </c>
      <c r="G21">
        <f t="shared" si="9"/>
        <v>0.9892578125</v>
      </c>
    </row>
    <row r="22" spans="1:7">
      <c r="A22" t="str">
        <f t="shared" si="10"/>
        <v>CCNCC</v>
      </c>
      <c r="B22" s="1" t="str">
        <f t="shared" si="11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22">
        <f t="shared" si="12"/>
        <v>0.99412340842311464</v>
      </c>
      <c r="D22">
        <f t="shared" si="9"/>
        <v>0.98631476050830891</v>
      </c>
      <c r="E22">
        <f t="shared" si="9"/>
        <v>0.99020568070519099</v>
      </c>
      <c r="F22">
        <f t="shared" si="9"/>
        <v>1</v>
      </c>
      <c r="G22">
        <f t="shared" si="9"/>
        <v>0.9892578125</v>
      </c>
    </row>
    <row r="23" spans="1:7">
      <c r="A23" t="str">
        <f t="shared" si="10"/>
        <v>c1ccccc1</v>
      </c>
      <c r="B23" s="1" t="str">
        <f t="shared" si="11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23">
        <f t="shared" si="12"/>
        <v>0.9931640625</v>
      </c>
      <c r="D23">
        <f t="shared" si="9"/>
        <v>0.9892578125</v>
      </c>
      <c r="E23">
        <f t="shared" si="9"/>
        <v>0.9892578125</v>
      </c>
      <c r="F23">
        <f t="shared" si="9"/>
        <v>0.9892578125</v>
      </c>
      <c r="G23">
        <f t="shared" si="9"/>
        <v>1</v>
      </c>
    </row>
    <row r="25" spans="1:7">
      <c r="A25" t="s">
        <v>81</v>
      </c>
      <c r="C25" t="str">
        <f>A27</f>
        <v>CCC</v>
      </c>
      <c r="D25" t="str">
        <f>A28</f>
        <v>CC(=O)O</v>
      </c>
      <c r="E25" t="str">
        <f>A29</f>
        <v>CCOCC</v>
      </c>
      <c r="F25" t="str">
        <f>A30</f>
        <v>CCNCC</v>
      </c>
      <c r="G25" t="str">
        <f>A31</f>
        <v>c1ccccc1</v>
      </c>
    </row>
    <row r="26" spans="1:7">
      <c r="B26" s="2"/>
      <c r="C26" s="1" t="str">
        <f>CDK_SignatureFingerprinterAsJson(C25)</f>
        <v>{"[C]([C])":2,"[C]([C][C])":1}</v>
      </c>
      <c r="D26" s="1" t="str">
        <f t="shared" ref="D26:G26" si="13">CDK_SignatureFingerprinterAsJson(D25)</f>
        <v>{"[C]([C])":1,"[C]([C][O]=[O])":1,"[O](=[C])":1,"[O]([C])":1}</v>
      </c>
      <c r="E26" s="1" t="str">
        <f t="shared" si="13"/>
        <v>{"[C]([C])":2,"[C]([C][O])":2,"[O]([C][C])":1}</v>
      </c>
      <c r="F26" s="1" t="str">
        <f t="shared" si="13"/>
        <v>{"[C]([C])":2,"[C]([C][N])":2,"[N]([C][C])":1}</v>
      </c>
      <c r="G26" s="1" t="str">
        <f t="shared" si="13"/>
        <v>{"[C](p[C]p[C])":6}</v>
      </c>
    </row>
    <row r="27" spans="1:7">
      <c r="A27" t="str">
        <f>A19</f>
        <v>CCC</v>
      </c>
      <c r="B27" s="1" t="str">
        <f>CDK_SignatureFingerprinterAsJson(A27)</f>
        <v>{"[C]([C])":2,"[C]([C][C])":1}</v>
      </c>
      <c r="C27">
        <f>CDK_Tanimoto_Dictionary($B27,C$26)</f>
        <v>1</v>
      </c>
      <c r="D27">
        <f t="shared" ref="D27:G31" si="14">CDK_Tanimoto_Dictionary($B27,D$26)</f>
        <v>0.2857142857142857</v>
      </c>
      <c r="E27">
        <f t="shared" si="14"/>
        <v>0.4</v>
      </c>
      <c r="F27">
        <f t="shared" si="14"/>
        <v>0.4</v>
      </c>
      <c r="G27">
        <f t="shared" si="14"/>
        <v>0</v>
      </c>
    </row>
    <row r="28" spans="1:7">
      <c r="A28" t="str">
        <f t="shared" ref="A28:A31" si="15">A20</f>
        <v>CC(=O)O</v>
      </c>
      <c r="B28" s="1" t="str">
        <f t="shared" ref="B28:B31" si="16">CDK_SignatureFingerprinterAsJson(A28)</f>
        <v>{"[C]([C])":1,"[C]([C][O]=[O])":1,"[O](=[C])":1,"[O]([C])":1}</v>
      </c>
      <c r="C28">
        <f t="shared" ref="C28:C31" si="17">CDK_Tanimoto_Dictionary($B28,C$26)</f>
        <v>0.2857142857142857</v>
      </c>
      <c r="D28">
        <f t="shared" si="14"/>
        <v>1</v>
      </c>
      <c r="E28">
        <f t="shared" si="14"/>
        <v>0.18181818181818182</v>
      </c>
      <c r="F28">
        <f t="shared" si="14"/>
        <v>0.18181818181818182</v>
      </c>
      <c r="G28">
        <f t="shared" si="14"/>
        <v>0</v>
      </c>
    </row>
    <row r="29" spans="1:7">
      <c r="A29" t="str">
        <f t="shared" si="15"/>
        <v>CCOCC</v>
      </c>
      <c r="B29" s="1" t="str">
        <f t="shared" si="16"/>
        <v>{"[C]([C])":2,"[C]([C][O])":2,"[O]([C][C])":1}</v>
      </c>
      <c r="C29">
        <f t="shared" si="17"/>
        <v>0.4</v>
      </c>
      <c r="D29">
        <f t="shared" si="14"/>
        <v>0.18181818181818182</v>
      </c>
      <c r="E29">
        <f t="shared" si="14"/>
        <v>1</v>
      </c>
      <c r="F29">
        <f t="shared" si="14"/>
        <v>0.2857142857142857</v>
      </c>
      <c r="G29">
        <f t="shared" si="14"/>
        <v>0</v>
      </c>
    </row>
    <row r="30" spans="1:7">
      <c r="A30" t="str">
        <f t="shared" si="15"/>
        <v>CCNCC</v>
      </c>
      <c r="B30" s="1" t="str">
        <f t="shared" si="16"/>
        <v>{"[C]([C])":2,"[C]([C][N])":2,"[N]([C][C])":1}</v>
      </c>
      <c r="C30">
        <f t="shared" si="17"/>
        <v>0.4</v>
      </c>
      <c r="D30">
        <f t="shared" si="14"/>
        <v>0.18181818181818182</v>
      </c>
      <c r="E30">
        <f t="shared" si="14"/>
        <v>0.2857142857142857</v>
      </c>
      <c r="F30">
        <f t="shared" si="14"/>
        <v>1</v>
      </c>
      <c r="G30">
        <f t="shared" si="14"/>
        <v>0</v>
      </c>
    </row>
    <row r="31" spans="1:7">
      <c r="A31" t="str">
        <f t="shared" si="15"/>
        <v>c1ccccc1</v>
      </c>
      <c r="B31" s="1" t="str">
        <f t="shared" si="16"/>
        <v>{"[C](p[C]p[C])":6}</v>
      </c>
      <c r="C31">
        <f t="shared" si="17"/>
        <v>0</v>
      </c>
      <c r="D31">
        <f t="shared" si="14"/>
        <v>0</v>
      </c>
      <c r="E31">
        <f t="shared" si="14"/>
        <v>0</v>
      </c>
      <c r="F31">
        <f t="shared" si="14"/>
        <v>0</v>
      </c>
      <c r="G31">
        <f t="shared" si="14"/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Compounds</vt:lpstr>
      <vt:lpstr>Descriptor_by_Function</vt:lpstr>
      <vt:lpstr>Descriptor_by_Name</vt:lpstr>
      <vt:lpstr>Fingerprinter_by_Function</vt:lpstr>
      <vt:lpstr>Fingerprinter_by_Name</vt:lpstr>
      <vt:lpstr>Tanimoto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2017-09-11T14:27:34Z</dcterms:modified>
</cp:coreProperties>
</file>